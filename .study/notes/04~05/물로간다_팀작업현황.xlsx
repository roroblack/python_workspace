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프로젝트개요" sheetId="1" r:id="rId5"/>
    <sheet state="visible" name="팀원" sheetId="2" r:id="rId6"/>
    <sheet state="visible" name="작업분담" sheetId="3" r:id="rId7"/>
    <sheet state="visible" name="데이터출처" sheetId="4" r:id="rId8"/>
    <sheet state="visible" name="회의록" sheetId="5" r:id="rId9"/>
    <sheet state="visible" name="이슈로그" sheetId="6" r:id="rId10"/>
  </sheets>
  <definedNames>
    <definedName hidden="1" localSheetId="0" name="_xlnm._FilterDatabase">'프로젝트개요'!$A$1:$B$17</definedName>
    <definedName hidden="1" localSheetId="1" name="_xlnm._FilterDatabase">'팀원'!$A$1:$D$5</definedName>
    <definedName hidden="1" localSheetId="2" name="_xlnm._FilterDatabase">'작업분담'!$A$1:$I$15</definedName>
    <definedName hidden="1" localSheetId="3" name="_xlnm._FilterDatabase">'데이터출처'!$A$1:$E$6</definedName>
    <definedName hidden="1" localSheetId="4" name="_xlnm._FilterDatabase">'회의록'!$A$1:$F$11</definedName>
    <definedName hidden="1" localSheetId="5" name="_xlnm._FilterDatabase">'이슈로그'!$A$1:$F$12</definedName>
  </definedNames>
  <calcPr/>
</workbook>
</file>

<file path=xl/sharedStrings.xml><?xml version="1.0" encoding="utf-8"?>
<sst xmlns="http://schemas.openxmlformats.org/spreadsheetml/2006/main" count="260" uniqueCount="162">
  <si>
    <t>항목</t>
  </si>
  <si>
    <t>내용</t>
  </si>
  <si>
    <t>팀명</t>
  </si>
  <si>
    <t>카데이터</t>
  </si>
  <si>
    <t>팀장</t>
  </si>
  <si>
    <t>최연우</t>
  </si>
  <si>
    <t>팀원</t>
  </si>
  <si>
    <t>권소라, 김지혜, 박회종</t>
  </si>
  <si>
    <t>프로젝트명</t>
  </si>
  <si>
    <t>물로간다</t>
  </si>
  <si>
    <t>주제</t>
  </si>
  <si>
    <t>한국 자동차 등록 현황 및 기업 FAQ 조회시스템</t>
  </si>
  <si>
    <t>발표일</t>
  </si>
  <si>
    <t>2026-05-19</t>
  </si>
  <si>
    <t>발표 형식</t>
  </si>
  <si>
    <t>팀당 발표 10분 + Q&amp;A 10분</t>
  </si>
  <si>
    <t>GitHub</t>
  </si>
  <si>
    <t>https://github.com/roroblack/SKN32-1st-3Team.git</t>
  </si>
  <si>
    <t>── 진행 요약 (작업분담 시트 기준) ──</t>
  </si>
  <si>
    <t>전체 작업 수</t>
  </si>
  <si>
    <t>Done</t>
  </si>
  <si>
    <t>Doing</t>
  </si>
  <si>
    <t>Todo</t>
  </si>
  <si>
    <t>Blocked</t>
  </si>
  <si>
    <t>완료율 (%)</t>
  </si>
  <si>
    <t>이름</t>
  </si>
  <si>
    <t>역할</t>
  </si>
  <si>
    <t>비고</t>
  </si>
  <si>
    <t>팀장 / Streamlit GUI 구현</t>
  </si>
  <si>
    <t>roroblack</t>
  </si>
  <si>
    <t>권소라</t>
  </si>
  <si>
    <t>MySQL DB 설계 및 데이터 저장</t>
  </si>
  <si>
    <t>oojo-9</t>
  </si>
  <si>
    <t>김지혜</t>
  </si>
  <si>
    <t>크롤링 (bs4, Playwright)</t>
  </si>
  <si>
    <t>kimji9663</t>
  </si>
  <si>
    <t>박회종</t>
  </si>
  <si>
    <t>파이썬-MySQL 연동 조회 시스템</t>
  </si>
  <si>
    <t>1jelly7</t>
  </si>
  <si>
    <t>ID</t>
  </si>
  <si>
    <t>영역</t>
  </si>
  <si>
    <t>작업명</t>
  </si>
  <si>
    <t>담당자</t>
  </si>
  <si>
    <t>시작일</t>
  </si>
  <si>
    <t>마감일</t>
  </si>
  <si>
    <t>상태</t>
  </si>
  <si>
    <t>산출물</t>
  </si>
  <si>
    <t>T-01</t>
  </si>
  <si>
    <t>DB</t>
  </si>
  <si>
    <t>DB 스키마 설계 (ERD 작성)</t>
  </si>
  <si>
    <t>전원</t>
  </si>
  <si>
    <t>T-02</t>
  </si>
  <si>
    <t>MySQL 테이블 생성 및 검증</t>
  </si>
  <si>
    <t>T-03</t>
  </si>
  <si>
    <t>SQLAlchemy 연동 (db.py)</t>
  </si>
  <si>
    <t>T-04</t>
  </si>
  <si>
    <t>Crawler</t>
  </si>
  <si>
    <t>국토부 엑셀 크롤러 (MolitCarCrawler)</t>
  </si>
  <si>
    <t>T-05</t>
  </si>
  <si>
    <t>무공해차 FAQ 크롤러 (ev.or.kr)</t>
  </si>
  <si>
    <t>T-06</t>
  </si>
  <si>
    <t>현대차 수소차 FAQ 크롤러 (hyundai.com)</t>
  </si>
  <si>
    <t>T-07</t>
  </si>
  <si>
    <t>Backend</t>
  </si>
  <si>
    <t>크롤러-DB 저장 연동 (CrawlService)</t>
  </si>
  <si>
    <t>T-08</t>
  </si>
  <si>
    <t>APScheduler 자동 크롤링 스케줄 등록</t>
  </si>
  <si>
    <t>T-09</t>
  </si>
  <si>
    <t>조회 메서드 (find_all, find_by_region 등)</t>
  </si>
  <si>
    <t>T-10</t>
  </si>
  <si>
    <t>UI</t>
  </si>
  <si>
    <t>Streamlit 탭 구성 (등록현황/FAQ)</t>
  </si>
  <si>
    <t>T-11</t>
  </si>
  <si>
    <t>지역별 등록현황 막대/선 그래프</t>
  </si>
  <si>
    <t>T-12</t>
  </si>
  <si>
    <t>FAQ 키워드 검색 기능</t>
  </si>
  <si>
    <t>T-13</t>
  </si>
  <si>
    <t>Docs</t>
  </si>
  <si>
    <t>발표 슬라이드 작성</t>
  </si>
  <si>
    <t>T-14</t>
  </si>
  <si>
    <t>README 최종 정리</t>
  </si>
  <si>
    <t>번호</t>
  </si>
  <si>
    <t>도메인</t>
  </si>
  <si>
    <t>사이트명</t>
  </si>
  <si>
    <t>URL</t>
  </si>
  <si>
    <t>1</t>
  </si>
  <si>
    <t>자동차 등록현황</t>
  </si>
  <si>
    <t>국토교통부 통계누리</t>
  </si>
  <si>
    <t>https://stat.molit.go.kr/portal/cate/statMetaView.do?hRsId=58</t>
  </si>
  <si>
    <t>2</t>
  </si>
  <si>
    <t>수소차 등록현황</t>
  </si>
  <si>
    <t>수소모빌리티 허브 (H2HUB)</t>
  </si>
  <si>
    <t>https://h2hub.or.kr/main/stat/stat_use_hCar_apply.do</t>
  </si>
  <si>
    <t>수소충전소 현황</t>
  </si>
  <si>
    <t>공공데이터포털</t>
  </si>
  <si>
    <t>https://www.data.go.kr/data/15066838/fileData.do#/tab-layer-file</t>
  </si>
  <si>
    <t>수소차 FAQ</t>
  </si>
  <si>
    <t>무공해차 통합누리집</t>
  </si>
  <si>
    <t>https://ev.or.kr/nportal/partcptn/initFaqAction.do</t>
  </si>
  <si>
    <t>현대차 수소차 구매 FAQ</t>
  </si>
  <si>
    <t>https://www.hyundai.com/kr/ko/e/customer/guide/purchase/estimate-fcev</t>
  </si>
  <si>
    <t>일자</t>
  </si>
  <si>
    <t>참석자</t>
  </si>
  <si>
    <t>안건</t>
  </si>
  <si>
    <t>결정사항</t>
  </si>
  <si>
    <t>다음 액션</t>
  </si>
  <si>
    <t>담당</t>
  </si>
  <si>
    <t>2026.05.16</t>
  </si>
  <si>
    <t>권소라, 김지혜, 박회종, 최연우</t>
  </si>
  <si>
    <t>GUI 초안 수정</t>
  </si>
  <si>
    <t>연도별 수소차 등록 현황 그래프의 가독성 향상</t>
  </si>
  <si>
    <t>연도별 데이터에 점을 추가</t>
  </si>
  <si>
    <t>연도별 수소차 등록 증가량 추이 그래프의 추가</t>
  </si>
  <si>
    <t>그래프 추가</t>
  </si>
  <si>
    <t>지역별 등록 현황 그래프 변경</t>
  </si>
  <si>
    <t>전국 데이터 표시를 삭제하고, 각 지역별 막대 그래프 위에 전체 대비 비율을 표시</t>
  </si>
  <si>
    <t>데이터베이스 설계</t>
  </si>
  <si>
    <t>크롤링 날짜를 기록하는 테이블 추가</t>
  </si>
  <si>
    <t>id, 데이터 타입, 크롤링 날짜를 가지는 테이블 설계</t>
  </si>
  <si>
    <t>개발 환경 설정</t>
  </si>
  <si>
    <t>파이썬 개발 환경 공유</t>
  </si>
  <si>
    <t>requirements.txt 파일 작성</t>
  </si>
  <si>
    <t>2026.05.17</t>
  </si>
  <si>
    <t>Github 브랜치 관리</t>
  </si>
  <si>
    <t>작업명 별로 브랜치 생성</t>
  </si>
  <si>
    <t>수업 시간에 의논해서 master로 통합</t>
  </si>
  <si>
    <t>ERD 변경 사항 검토</t>
  </si>
  <si>
    <t>현행 유지</t>
  </si>
  <si>
    <t>데이터베이스 실제 생성</t>
  </si>
  <si>
    <t>GUI 수정</t>
  </si>
  <si>
    <t>연도별 수소차 등록 현황 그래프의 출력 기준 변경</t>
  </si>
  <si>
    <t>데이터 1년기준 (1~12월), 26년의 경우 최근데이터 업로드 (월표시)</t>
  </si>
  <si>
    <t>충전소 기능과 프로젝트 통합</t>
  </si>
  <si>
    <t>충전소 데이터 및 처리 코드를 프로젝트에 통합</t>
  </si>
  <si>
    <t>2026.05.18</t>
  </si>
  <si>
    <t>출처가 다른 FAQ 통합 처리</t>
  </si>
  <si>
    <t>FAQ 출처를 답변 뒤에 추가</t>
  </si>
  <si>
    <t>크롤한 FAQ 출처를 답변 맨 뒤에 붙이도록 코드 수정</t>
  </si>
  <si>
    <t>해결 방법</t>
  </si>
  <si>
    <t>save 도중 region_id 바인딩 불일치 :
CarRegistrationItem의 필드는 region (문자열)인데, MODEL_INSERT_SQL은 :region_id를 기대함 → _item_to_params()가 region_id 키를 못 찾아 SQL 오류</t>
  </si>
  <si>
    <t>Closed</t>
  </si>
  <si>
    <t>MODEL_INSERT_SQL 를 str 로 작업하게 수정. 영속성 레이어가 문자열에서 PK 변환을 책임지는 방향으로 해서 DB에 넣고 빼는 단계(Repository/DAO)에서만 알아서 타입을 변환해 주도록 함</t>
  </si>
  <si>
    <t>크롤링 과정에서 발생)
누계 로직 오류 문제 : 분류별 수소차등록 소계를 전부 합산하던 오류</t>
  </si>
  <si>
    <t>수소에서 다음 분류로 넘어가는 행번호와 '계' 문자의 열번호를 찾아서 그 다음 열 값들의 시트상의 합을 구하여 count 하는 식으로 로직을 수정하여 해결</t>
  </si>
  <si>
    <t>수소충전소 테이블 외례키 없음 에러</t>
  </si>
  <si>
    <t xml:space="preserve">    FOREIGN KEY (region_id) REFERENCES regions(region_id)
sql 코드로 외례키를 잡아줘서 해결</t>
  </si>
  <si>
    <t>슬라이더의 최대값이 선형그래프에 반영되지 않던 오류</t>
  </si>
  <si>
    <t>기간의 라벨을 쓰고 레인지값을 주어서 해결 :  f"기간: **{year_label(year_range[0])} ~ {year_label(year_range[1])}**"</t>
  </si>
  <si>
    <r>
      <rPr>
        <sz val="10.0"/>
      </rPr>
      <t xml:space="preserve">월데이터 연동 오류 : crawling 작업에서 최신 월 데이터를 </t>
    </r>
    <r>
      <rPr>
        <color rgb="FF1155CC"/>
        <sz val="10.0"/>
        <u/>
      </rPr>
      <t>app.py</t>
    </r>
    <r>
      <rPr>
        <sz val="10.0"/>
      </rPr>
      <t xml:space="preserve"> 에 연동하는 기능이 작동을 안함 : 필터 - 등록기간 선택과 연도별수소차등록현황 선형 그래프에 월이 표시되지 않던 오류</t>
    </r>
  </si>
  <si>
    <r>
      <rPr>
        <color rgb="FF1155CC"/>
        <sz val="10.0"/>
        <u/>
      </rPr>
      <t>crawler_molit.py</t>
    </r>
    <r>
      <rPr>
        <sz val="10.0"/>
      </rPr>
      <t xml:space="preserve"> 파일에서 월 데이터를 가지고 </t>
    </r>
    <r>
      <rPr>
        <color rgb="FF1155CC"/>
        <sz val="10.0"/>
        <u/>
      </rPr>
      <t>app.py</t>
    </r>
    <r>
      <rPr>
        <sz val="10.0"/>
      </rPr>
      <t xml:space="preserve"> 에서 받아갈 수 있게 제공 =&gt; STAT_MONTH: int = st.session_state.get("stat_month") 를 전역에 추가하고 month = _ac.last_stat_month 해당 파트에서 month 를 메모리에 받아오고  if month: st.session_state["stat_month"] = month  # 실제 수집 월을 전역 변수에 반영 (이 때 st 로 가져와서 페이지 갱신시 초기화를 막음)</t>
    </r>
  </si>
  <si>
    <t>필터의 키값들이 초기화 되는 오류 : 필터를 수정한 뒤에 홈 화면으로 이동한 뒤에 다시 필터가 있는 탭으로 돌아오면 수정한 값들이 초기화되던 오류</t>
  </si>
  <si>
    <t>쉐도우키를 사용해서 해결 :  스트림릿 세션에 데이터를 저장 =&gt;  st.session_state["year_range_saved"] = year_range 이후 _default_year_range = st.session_state.get("year_range_saved", (year_min, slider_year_max)) 와 같이 데이터를 불러와서 기본값을 사용해서  해결</t>
  </si>
  <si>
    <r>
      <rPr>
        <sz val="10.0"/>
      </rPr>
      <t xml:space="preserve">인서트 중첩 문제 : </t>
    </r>
    <r>
      <rPr>
        <color rgb="FF1155CC"/>
        <sz val="10.0"/>
        <u/>
      </rPr>
      <t>repository.py</t>
    </r>
    <r>
      <rPr>
        <sz val="10.0"/>
      </rPr>
      <t xml:space="preserve"> 의 save 기능이 앱 재시작등으로 반복시마다 크롤링이 발생하며 인서트가 발생하던 문제</t>
    </r>
  </si>
  <si>
    <t>(UPSERT) == ON DUPLICATE KEY UPDATE count = VALUES(count) 를 car_registratioins 의 insert 문 내에 추가해 있으면 카운트 갱신 없으면 추가하는 방식으로 해결</t>
  </si>
  <si>
    <t xml:space="preserve"> 수소충전소 차트 선택 연동 오류 : 인덱스의 행 번호로 저장해서 지역을 바꾸면 같은 행 번호가 다른 충전소를 가리켜서 표시되는 오류</t>
  </si>
  <si>
    <t>region_name + station_name + address + lat + lon 기반의 _station_key로 선택값을 저장하고 지도의 마커키와 비교해서 찾음</t>
  </si>
  <si>
    <t>python -m crawling.crawler_faq 이 동작하지 않는 오류</t>
  </si>
  <si>
    <t>프로그램 코드가 정상 동작하지만 실제 자료를 제공해줘야 하는 faq 사이트 중에 무공해차 누리집 (https://ev.or.kr/nportal/partcptn/initFaqAction.do) 의 페이지가 다운되어 자료를 받아오지 못해 에러가 발생. 이 경우 가능한 faq 링크만 사용하고 디폴트 faq 값을 폴백방식으로 잡아줘서 해결</t>
  </si>
  <si>
    <t>물결표 2개가 취소선으로 입력되는 마크다운 오류</t>
  </si>
  <si>
    <t>FAQ 본문 출력 시 ~를 &amp;#126; HTML 엔티티로 바꾸도록 수정해서 해결</t>
  </si>
  <si>
    <t>사이트에서 저장&amp;불러오기를 한 뒤에 선택 가능한 오브젝트 들이 동작을 안하던 오류</t>
  </si>
  <si>
    <t>저장된 ZIP 불러오기 처리 흐름이 리런마다 반복되는 문제 : 중복 업로드 방지 토큰, 홈 지표 기준 수정, 차트 라디오 key 들을 보강해서 해결. 코드 :  if uploaded_zip is None:
    st.session_state.pop("dataset_upload_token", None)
else:
    uploaded_zip_bytes = uploaded_zip.getvalue()
    uploaded_zip_token = hashlib.sha256(uploaded_zip_bytes).hexdigest()
if uploaded_zip is not None and uploaded_zip_token != st.session_state.get("dataset_upload_token"):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</si>
</sst>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1.0"/>
      <color theme="1"/>
      <name val="Calibri"/>
      <scheme val="minor"/>
    </font>
    <font>
      <b/>
      <sz val="10.0"/>
      <color rgb="FFFFFFFF"/>
      <name val="Calibri"/>
      <scheme val="minor"/>
    </font>
    <font>
      <sz val="10.0"/>
      <color theme="1"/>
      <name val="Calibri"/>
      <scheme val="minor"/>
    </font>
    <font>
      <u/>
      <sz val="10.0"/>
      <color rgb="FF0000FF"/>
    </font>
    <font>
      <color theme="1"/>
      <name val="Calibri"/>
      <scheme val="minor"/>
    </font>
    <font>
      <u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</fonts>
  <fills count="13">
    <fill>
      <patternFill patternType="none"/>
    </fill>
    <fill>
      <patternFill patternType="lightGray"/>
    </fill>
    <fill>
      <patternFill patternType="solid">
        <fgColor rgb="FF4A90D9"/>
        <bgColor rgb="FF4A90D9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EBF5FB"/>
        <bgColor rgb="FFEBF5FB"/>
      </patternFill>
    </fill>
    <fill>
      <patternFill patternType="solid">
        <fgColor rgb="FFF4CCCC"/>
        <bgColor rgb="FFF4CCCC"/>
      </patternFill>
    </fill>
    <fill>
      <patternFill patternType="solid">
        <fgColor rgb="FF27AE60"/>
        <bgColor rgb="FF27AE60"/>
      </patternFill>
    </fill>
    <fill>
      <patternFill patternType="solid">
        <fgColor rgb="FFE67E22"/>
        <bgColor rgb="FFE67E22"/>
      </patternFill>
    </fill>
    <fill>
      <patternFill patternType="solid">
        <fgColor rgb="FF8E44AD"/>
        <bgColor rgb="FF8E44AD"/>
      </patternFill>
    </fill>
    <fill>
      <patternFill patternType="solid">
        <fgColor rgb="FF16A085"/>
        <bgColor rgb="FF16A085"/>
      </patternFill>
    </fill>
    <fill>
      <patternFill patternType="solid">
        <fgColor rgb="FFFFFF00"/>
        <bgColor rgb="FFFFFF00"/>
      </patternFill>
    </fill>
    <fill>
      <patternFill patternType="solid">
        <fgColor rgb="FFC0392B"/>
        <bgColor rgb="FFC0392B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ill="1" applyFont="1">
      <alignment horizontal="left" shrinkToFit="0" vertical="center" wrapText="1"/>
    </xf>
    <xf borderId="1" fillId="4" fontId="2" numFmtId="0" xfId="0" applyAlignment="1" applyBorder="1" applyFill="1" applyFont="1">
      <alignment horizontal="left" shrinkToFit="0" vertical="center" wrapText="1"/>
    </xf>
    <xf borderId="1" fillId="5" fontId="2" numFmtId="0" xfId="0" applyAlignment="1" applyBorder="1" applyFill="1" applyFont="1">
      <alignment horizontal="left" shrinkToFit="0" vertical="center" wrapText="1"/>
    </xf>
    <xf borderId="1" fillId="6" fontId="2" numFmtId="0" xfId="0" applyAlignment="1" applyBorder="1" applyFill="1" applyFont="1">
      <alignment horizontal="left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left" readingOrder="0" shrinkToFit="0" vertical="center" wrapText="1"/>
    </xf>
    <xf borderId="1" fillId="5" fontId="2" numFmtId="0" xfId="0" applyAlignment="1" applyBorder="1" applyFont="1">
      <alignment horizontal="left" readingOrder="0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1" fillId="10" fontId="1" numFmtId="0" xfId="0" applyAlignment="1" applyBorder="1" applyFill="1" applyFont="1">
      <alignment horizontal="center" shrinkToFit="0" vertical="center" wrapText="1"/>
    </xf>
    <xf borderId="1" fillId="11" fontId="2" numFmtId="0" xfId="0" applyAlignment="1" applyBorder="1" applyFill="1" applyFont="1">
      <alignment horizontal="left" readingOrder="0" shrinkToFit="0" vertical="center" wrapText="1"/>
    </xf>
    <xf borderId="0" fillId="11" fontId="4" numFmtId="0" xfId="0" applyAlignment="1" applyFont="1">
      <alignment readingOrder="0"/>
    </xf>
    <xf borderId="1" fillId="12" fontId="1" numFmtId="0" xfId="0" applyAlignment="1" applyBorder="1" applyFill="1" applyFont="1">
      <alignment horizontal="center" shrinkToFit="0" vertical="center" wrapText="1"/>
    </xf>
    <xf borderId="1" fillId="11" fontId="2" numFmtId="164" xfId="0" applyAlignment="1" applyBorder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11" fontId="2" numFmtId="0" xfId="0" applyAlignment="1" applyFont="1">
      <alignment horizontal="left" readingOrder="0" shrinkToFit="0" vertical="center" wrapText="1"/>
    </xf>
    <xf borderId="0" fillId="11" fontId="8" numFmtId="0" xfId="0" applyAlignment="1" applyFont="1">
      <alignment readingOrder="0" shrinkToFit="0" vertical="center" wrapText="1"/>
    </xf>
    <xf borderId="0" fillId="11" fontId="2" numFmtId="0" xfId="0" applyAlignment="1" applyFont="1">
      <alignment horizontal="left" readingOrder="0" shrinkToFit="0" vertical="center" wrapText="1"/>
    </xf>
    <xf borderId="0" fillId="11" fontId="2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5">
    <dxf>
      <font/>
      <fill>
        <patternFill patternType="solid">
          <fgColor rgb="FFEBF5FB"/>
          <bgColor rgb="FFEBF5FB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roroblack/SKN32-1st-3Team.g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tat.molit.go.kr/portal/cate/statMetaView.do?hRsId=58" TargetMode="External"/><Relationship Id="rId2" Type="http://schemas.openxmlformats.org/officeDocument/2006/relationships/hyperlink" Target="https://h2hub.or.kr/main/stat/stat_use_hCar_apply.do" TargetMode="External"/><Relationship Id="rId3" Type="http://schemas.openxmlformats.org/officeDocument/2006/relationships/hyperlink" Target="https://www.data.go.kr/data/15066838/fileData.do" TargetMode="External"/><Relationship Id="rId4" Type="http://schemas.openxmlformats.org/officeDocument/2006/relationships/hyperlink" Target="https://ev.or.kr/nportal/partcptn/initFaqAction.do" TargetMode="External"/><Relationship Id="rId5" Type="http://schemas.openxmlformats.org/officeDocument/2006/relationships/hyperlink" Target="https://www.hyundai.com/kr/ko/e/customer/guide/purchase/estimate-fcev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app.py/" TargetMode="External"/><Relationship Id="rId2" Type="http://schemas.openxmlformats.org/officeDocument/2006/relationships/hyperlink" Target="http://crawler_molit.py/" TargetMode="External"/><Relationship Id="rId3" Type="http://schemas.openxmlformats.org/officeDocument/2006/relationships/hyperlink" Target="http://repository.py/" TargetMode="External"/><Relationship Id="rId4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57"/>
    <col customWidth="1" min="2" max="2" width="50.0"/>
    <col customWidth="1" min="3" max="26" width="8.71"/>
  </cols>
  <sheetData>
    <row r="1" ht="19.5" customHeight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3" t="s">
        <v>17</v>
      </c>
    </row>
    <row r="10">
      <c r="A10" s="2"/>
      <c r="B10" s="2"/>
    </row>
    <row r="11">
      <c r="A11" s="2" t="s">
        <v>18</v>
      </c>
      <c r="B11" s="2"/>
    </row>
    <row r="12">
      <c r="A12" s="2" t="s">
        <v>19</v>
      </c>
      <c r="B12" s="2">
        <f>COUNTA('작업분담'!A2:A999)</f>
        <v>14</v>
      </c>
    </row>
    <row r="13">
      <c r="A13" s="4" t="s">
        <v>20</v>
      </c>
      <c r="B13" s="2">
        <f>COUNTIF('작업분담'!G2:G999,"Done")</f>
        <v>14</v>
      </c>
    </row>
    <row r="14">
      <c r="A14" s="5" t="s">
        <v>21</v>
      </c>
      <c r="B14" s="2">
        <f>COUNTIF('작업분담'!G2:G999,"Doing")</f>
        <v>0</v>
      </c>
    </row>
    <row r="15">
      <c r="A15" s="6" t="s">
        <v>22</v>
      </c>
      <c r="B15" s="2">
        <f>COUNTIF('작업분담'!G2:G999,"Todo")</f>
        <v>0</v>
      </c>
    </row>
    <row r="16">
      <c r="A16" s="7" t="s">
        <v>23</v>
      </c>
      <c r="B16" s="2">
        <f>COUNTIF('작업분담'!G2:G999,"Blocked")</f>
        <v>0</v>
      </c>
    </row>
    <row r="17">
      <c r="A17" s="2" t="s">
        <v>24</v>
      </c>
      <c r="B17" s="2">
        <f>IFERROR(ROUND(COUNTIF('작업분담'!G2:G999,"Done")/MAX(COUNTA('작업분담'!A2:A999)-1,1)*100,1),0)</f>
        <v>107.7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B$17"/>
  <hyperlinks>
    <hyperlink r:id="rId1" ref="B9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9.43"/>
    <col customWidth="1" min="3" max="3" width="13.29"/>
    <col customWidth="1" min="4" max="4" width="8.0"/>
    <col customWidth="1" min="5" max="26" width="8.71"/>
  </cols>
  <sheetData>
    <row r="1" ht="19.5" customHeight="1">
      <c r="A1" s="8" t="s">
        <v>25</v>
      </c>
      <c r="B1" s="8" t="s">
        <v>26</v>
      </c>
      <c r="C1" s="8" t="s">
        <v>16</v>
      </c>
      <c r="D1" s="8" t="s">
        <v>27</v>
      </c>
    </row>
    <row r="2">
      <c r="A2" s="2" t="s">
        <v>5</v>
      </c>
      <c r="B2" s="2" t="s">
        <v>28</v>
      </c>
      <c r="C2" s="9" t="s">
        <v>29</v>
      </c>
      <c r="D2" s="2"/>
    </row>
    <row r="3">
      <c r="A3" s="2" t="s">
        <v>30</v>
      </c>
      <c r="B3" s="2" t="s">
        <v>31</v>
      </c>
      <c r="C3" s="9" t="s">
        <v>32</v>
      </c>
      <c r="D3" s="2"/>
    </row>
    <row r="4">
      <c r="A4" s="2" t="s">
        <v>33</v>
      </c>
      <c r="B4" s="2" t="s">
        <v>34</v>
      </c>
      <c r="C4" s="9" t="s">
        <v>35</v>
      </c>
      <c r="D4" s="2"/>
    </row>
    <row r="5">
      <c r="A5" s="2" t="s">
        <v>36</v>
      </c>
      <c r="B5" s="2" t="s">
        <v>37</v>
      </c>
      <c r="C5" s="9" t="s">
        <v>38</v>
      </c>
      <c r="D5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5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2.0"/>
    <col customWidth="1" min="3" max="3" width="49.0"/>
    <col customWidth="1" min="4" max="4" width="10.86"/>
    <col customWidth="1" min="5" max="6" width="14.0"/>
    <col customWidth="1" min="7" max="7" width="9.71"/>
    <col customWidth="1" min="8" max="8" width="10.14"/>
    <col customWidth="1" min="9" max="9" width="8.0"/>
    <col customWidth="1" min="10" max="26" width="8.71"/>
  </cols>
  <sheetData>
    <row r="1" ht="19.5" customHeight="1">
      <c r="A1" s="10" t="s">
        <v>39</v>
      </c>
      <c r="B1" s="10" t="s">
        <v>40</v>
      </c>
      <c r="C1" s="10" t="s">
        <v>41</v>
      </c>
      <c r="D1" s="10" t="s">
        <v>42</v>
      </c>
      <c r="E1" s="10" t="s">
        <v>43</v>
      </c>
      <c r="F1" s="10" t="s">
        <v>44</v>
      </c>
      <c r="G1" s="10" t="s">
        <v>45</v>
      </c>
      <c r="H1" s="10" t="s">
        <v>46</v>
      </c>
      <c r="I1" s="10" t="s">
        <v>27</v>
      </c>
    </row>
    <row r="2">
      <c r="A2" s="2" t="s">
        <v>47</v>
      </c>
      <c r="B2" s="2" t="s">
        <v>48</v>
      </c>
      <c r="C2" s="2" t="s">
        <v>49</v>
      </c>
      <c r="D2" s="9" t="s">
        <v>50</v>
      </c>
      <c r="E2" s="11">
        <v>46157.0</v>
      </c>
      <c r="F2" s="11">
        <v>46159.0</v>
      </c>
      <c r="G2" s="12" t="s">
        <v>20</v>
      </c>
      <c r="H2" s="2"/>
      <c r="I2" s="2"/>
    </row>
    <row r="3">
      <c r="A3" s="2" t="s">
        <v>51</v>
      </c>
      <c r="B3" s="2" t="s">
        <v>48</v>
      </c>
      <c r="C3" s="2" t="s">
        <v>52</v>
      </c>
      <c r="D3" s="2" t="s">
        <v>30</v>
      </c>
      <c r="E3" s="11">
        <v>46157.0</v>
      </c>
      <c r="F3" s="2"/>
      <c r="G3" s="12" t="s">
        <v>20</v>
      </c>
      <c r="H3" s="2"/>
      <c r="I3" s="2"/>
    </row>
    <row r="4">
      <c r="A4" s="2" t="s">
        <v>53</v>
      </c>
      <c r="B4" s="2" t="s">
        <v>48</v>
      </c>
      <c r="C4" s="2" t="s">
        <v>54</v>
      </c>
      <c r="D4" s="2" t="s">
        <v>30</v>
      </c>
      <c r="E4" s="11">
        <v>46157.0</v>
      </c>
      <c r="F4" s="2"/>
      <c r="G4" s="12" t="s">
        <v>20</v>
      </c>
      <c r="H4" s="2"/>
      <c r="I4" s="2"/>
    </row>
    <row r="5">
      <c r="A5" s="2" t="s">
        <v>55</v>
      </c>
      <c r="B5" s="2" t="s">
        <v>56</v>
      </c>
      <c r="C5" s="2" t="s">
        <v>57</v>
      </c>
      <c r="D5" s="2" t="s">
        <v>33</v>
      </c>
      <c r="E5" s="11">
        <v>46157.0</v>
      </c>
      <c r="F5" s="11">
        <v>46160.0</v>
      </c>
      <c r="G5" s="12" t="s">
        <v>20</v>
      </c>
      <c r="H5" s="2"/>
      <c r="I5" s="2"/>
    </row>
    <row r="6">
      <c r="A6" s="9" t="s">
        <v>58</v>
      </c>
      <c r="B6" s="2" t="s">
        <v>56</v>
      </c>
      <c r="C6" s="2" t="s">
        <v>59</v>
      </c>
      <c r="D6" s="2" t="s">
        <v>33</v>
      </c>
      <c r="E6" s="11">
        <v>46157.0</v>
      </c>
      <c r="F6" s="11">
        <v>46160.0</v>
      </c>
      <c r="G6" s="12" t="s">
        <v>20</v>
      </c>
      <c r="H6" s="2"/>
      <c r="I6" s="2"/>
    </row>
    <row r="7">
      <c r="A7" s="9" t="s">
        <v>60</v>
      </c>
      <c r="B7" s="2" t="s">
        <v>56</v>
      </c>
      <c r="C7" s="2" t="s">
        <v>61</v>
      </c>
      <c r="D7" s="2" t="s">
        <v>33</v>
      </c>
      <c r="E7" s="11">
        <v>46157.0</v>
      </c>
      <c r="F7" s="11">
        <v>46160.0</v>
      </c>
      <c r="G7" s="12" t="s">
        <v>20</v>
      </c>
      <c r="H7" s="2"/>
      <c r="I7" s="2"/>
    </row>
    <row r="8">
      <c r="A8" s="9" t="s">
        <v>62</v>
      </c>
      <c r="B8" s="2" t="s">
        <v>63</v>
      </c>
      <c r="C8" s="2" t="s">
        <v>64</v>
      </c>
      <c r="D8" s="2" t="s">
        <v>36</v>
      </c>
      <c r="E8" s="11">
        <v>46157.0</v>
      </c>
      <c r="F8" s="11">
        <v>46160.0</v>
      </c>
      <c r="G8" s="12" t="s">
        <v>20</v>
      </c>
      <c r="H8" s="2"/>
      <c r="I8" s="2"/>
    </row>
    <row r="9">
      <c r="A9" s="9" t="s">
        <v>65</v>
      </c>
      <c r="B9" s="2" t="s">
        <v>63</v>
      </c>
      <c r="C9" s="2" t="s">
        <v>66</v>
      </c>
      <c r="D9" s="2" t="s">
        <v>36</v>
      </c>
      <c r="E9" s="11">
        <v>46157.0</v>
      </c>
      <c r="F9" s="2"/>
      <c r="G9" s="12" t="s">
        <v>20</v>
      </c>
      <c r="H9" s="2"/>
      <c r="I9" s="2"/>
    </row>
    <row r="10">
      <c r="A10" s="9" t="s">
        <v>67</v>
      </c>
      <c r="B10" s="2" t="s">
        <v>63</v>
      </c>
      <c r="C10" s="2" t="s">
        <v>68</v>
      </c>
      <c r="D10" s="2" t="s">
        <v>36</v>
      </c>
      <c r="E10" s="11">
        <v>46157.0</v>
      </c>
      <c r="F10" s="2"/>
      <c r="G10" s="12" t="s">
        <v>20</v>
      </c>
      <c r="H10" s="2"/>
      <c r="I10" s="2"/>
    </row>
    <row r="11">
      <c r="A11" s="9" t="s">
        <v>69</v>
      </c>
      <c r="B11" s="2" t="s">
        <v>70</v>
      </c>
      <c r="C11" s="2" t="s">
        <v>71</v>
      </c>
      <c r="D11" s="2" t="s">
        <v>5</v>
      </c>
      <c r="E11" s="11">
        <v>46157.0</v>
      </c>
      <c r="F11" s="2"/>
      <c r="G11" s="12" t="s">
        <v>20</v>
      </c>
      <c r="H11" s="2"/>
      <c r="I11" s="2"/>
    </row>
    <row r="12">
      <c r="A12" s="9" t="s">
        <v>72</v>
      </c>
      <c r="B12" s="2" t="s">
        <v>70</v>
      </c>
      <c r="C12" s="2" t="s">
        <v>73</v>
      </c>
      <c r="D12" s="2" t="s">
        <v>5</v>
      </c>
      <c r="E12" s="11">
        <v>46157.0</v>
      </c>
      <c r="F12" s="2"/>
      <c r="G12" s="12" t="s">
        <v>20</v>
      </c>
      <c r="H12" s="2"/>
      <c r="I12" s="2"/>
    </row>
    <row r="13">
      <c r="A13" s="9" t="s">
        <v>74</v>
      </c>
      <c r="B13" s="2" t="s">
        <v>70</v>
      </c>
      <c r="C13" s="2" t="s">
        <v>75</v>
      </c>
      <c r="D13" s="2" t="s">
        <v>5</v>
      </c>
      <c r="E13" s="11">
        <v>46157.0</v>
      </c>
      <c r="F13" s="2"/>
      <c r="G13" s="12" t="s">
        <v>20</v>
      </c>
      <c r="H13" s="2"/>
      <c r="I13" s="2"/>
    </row>
    <row r="14">
      <c r="A14" s="9" t="s">
        <v>76</v>
      </c>
      <c r="B14" s="2" t="s">
        <v>77</v>
      </c>
      <c r="C14" s="2" t="s">
        <v>78</v>
      </c>
      <c r="D14" s="2" t="s">
        <v>50</v>
      </c>
      <c r="E14" s="11">
        <v>46157.0</v>
      </c>
      <c r="F14" s="2" t="s">
        <v>13</v>
      </c>
      <c r="G14" s="12" t="s">
        <v>20</v>
      </c>
      <c r="H14" s="2"/>
      <c r="I14" s="2"/>
    </row>
    <row r="15">
      <c r="A15" s="9" t="s">
        <v>79</v>
      </c>
      <c r="B15" s="2" t="s">
        <v>77</v>
      </c>
      <c r="C15" s="2" t="s">
        <v>80</v>
      </c>
      <c r="D15" s="2" t="s">
        <v>5</v>
      </c>
      <c r="E15" s="11">
        <v>46157.0</v>
      </c>
      <c r="F15" s="2" t="s">
        <v>13</v>
      </c>
      <c r="G15" s="12" t="s">
        <v>20</v>
      </c>
      <c r="H15" s="2"/>
      <c r="I15" s="2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I$15"/>
  <conditionalFormatting sqref="G2:G15">
    <cfRule type="cellIs" dxfId="0" priority="1" operator="equal">
      <formula>"Todo"</formula>
    </cfRule>
  </conditionalFormatting>
  <conditionalFormatting sqref="G2:G15">
    <cfRule type="cellIs" dxfId="1" priority="2" operator="equal">
      <formula>"Doing"</formula>
    </cfRule>
  </conditionalFormatting>
  <conditionalFormatting sqref="G2:G15">
    <cfRule type="cellIs" dxfId="2" priority="3" operator="equal">
      <formula>"Done"</formula>
    </cfRule>
  </conditionalFormatting>
  <conditionalFormatting sqref="G2:G15">
    <cfRule type="cellIs" dxfId="3" priority="4" operator="equal">
      <formula>"Blocked"</formula>
    </cfRule>
  </conditionalFormatting>
  <dataValidations>
    <dataValidation type="list" allowBlank="1" sqref="B2:B15">
      <formula1>"DB,Crawler,Backend,UI,Docs"</formula1>
    </dataValidation>
    <dataValidation type="list" allowBlank="1" sqref="G2:G15">
      <formula1>"Todo,Doing,Done,Blocked"</formula1>
    </dataValidation>
    <dataValidation type="list" allowBlank="1" sqref="D2:D15">
      <formula1>"최연우,권소라,김지혜,박회종,전원"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8.14"/>
    <col customWidth="1" min="3" max="3" width="23.86"/>
    <col customWidth="1" min="4" max="4" width="60.14"/>
    <col customWidth="1" min="5" max="5" width="8.0"/>
    <col customWidth="1" min="6" max="26" width="8.71"/>
  </cols>
  <sheetData>
    <row r="1" ht="19.5" customHeight="1">
      <c r="A1" s="13" t="s">
        <v>81</v>
      </c>
      <c r="B1" s="13" t="s">
        <v>82</v>
      </c>
      <c r="C1" s="13" t="s">
        <v>83</v>
      </c>
      <c r="D1" s="13" t="s">
        <v>84</v>
      </c>
      <c r="E1" s="13" t="s">
        <v>27</v>
      </c>
    </row>
    <row r="2">
      <c r="A2" s="2" t="s">
        <v>85</v>
      </c>
      <c r="B2" s="2" t="s">
        <v>86</v>
      </c>
      <c r="C2" s="2" t="s">
        <v>87</v>
      </c>
      <c r="D2" s="3" t="s">
        <v>88</v>
      </c>
      <c r="E2" s="2"/>
    </row>
    <row r="3">
      <c r="A3" s="2" t="s">
        <v>89</v>
      </c>
      <c r="B3" s="2" t="s">
        <v>90</v>
      </c>
      <c r="C3" s="2" t="s">
        <v>91</v>
      </c>
      <c r="D3" s="3" t="s">
        <v>92</v>
      </c>
      <c r="E3" s="2"/>
    </row>
    <row r="4">
      <c r="A4" s="14">
        <v>3.0</v>
      </c>
      <c r="B4" s="15" t="s">
        <v>93</v>
      </c>
      <c r="C4" s="15" t="s">
        <v>94</v>
      </c>
      <c r="D4" s="16" t="s">
        <v>95</v>
      </c>
    </row>
    <row r="5">
      <c r="A5" s="9">
        <v>4.0</v>
      </c>
      <c r="B5" s="2" t="s">
        <v>96</v>
      </c>
      <c r="C5" s="2" t="s">
        <v>97</v>
      </c>
      <c r="D5" s="3" t="s">
        <v>98</v>
      </c>
      <c r="E5" s="2"/>
    </row>
    <row r="6">
      <c r="A6" s="9">
        <v>5.0</v>
      </c>
      <c r="B6" s="2" t="s">
        <v>96</v>
      </c>
      <c r="C6" s="2" t="s">
        <v>99</v>
      </c>
      <c r="D6" s="3" t="s">
        <v>100</v>
      </c>
      <c r="E6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E$6">
    <sortState ref="A1:E6">
      <sortCondition descending="1" ref="A1:A6"/>
    </sortState>
  </autoFilter>
  <hyperlinks>
    <hyperlink r:id="rId1" ref="D2"/>
    <hyperlink r:id="rId2" ref="D3"/>
    <hyperlink r:id="rId3" location="/tab-layer-file" ref="D4"/>
    <hyperlink r:id="rId4" ref="D5"/>
    <hyperlink r:id="rId5" ref="D6"/>
  </hyperlinks>
  <printOptions/>
  <pageMargins bottom="1.0" footer="0.0" header="0.0" left="0.75" right="0.75" top="1.0"/>
  <pageSetup orientation="landscape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43"/>
    <col customWidth="1" min="2" max="2" width="16.71"/>
    <col customWidth="1" min="3" max="3" width="30.14"/>
    <col customWidth="1" min="4" max="4" width="43.0"/>
    <col customWidth="1" min="5" max="5" width="69.0"/>
    <col customWidth="1" min="6" max="7" width="10.71"/>
    <col customWidth="1" min="8" max="26" width="8.71"/>
  </cols>
  <sheetData>
    <row r="1" ht="19.5" customHeight="1">
      <c r="A1" s="17" t="s">
        <v>101</v>
      </c>
      <c r="B1" s="17" t="s">
        <v>102</v>
      </c>
      <c r="C1" s="17" t="s">
        <v>103</v>
      </c>
      <c r="D1" s="17" t="s">
        <v>104</v>
      </c>
      <c r="E1" s="17" t="s">
        <v>105</v>
      </c>
      <c r="F1" s="17" t="s">
        <v>106</v>
      </c>
    </row>
    <row r="2">
      <c r="A2" s="9" t="s">
        <v>107</v>
      </c>
      <c r="B2" s="9" t="s">
        <v>108</v>
      </c>
      <c r="C2" s="9" t="s">
        <v>109</v>
      </c>
      <c r="D2" s="9" t="s">
        <v>110</v>
      </c>
      <c r="E2" s="9" t="s">
        <v>111</v>
      </c>
      <c r="F2" s="9" t="s">
        <v>5</v>
      </c>
    </row>
    <row r="3">
      <c r="A3" s="9" t="s">
        <v>107</v>
      </c>
      <c r="B3" s="9" t="s">
        <v>108</v>
      </c>
      <c r="C3" s="9" t="s">
        <v>109</v>
      </c>
      <c r="D3" s="9" t="s">
        <v>112</v>
      </c>
      <c r="E3" s="9" t="s">
        <v>113</v>
      </c>
      <c r="F3" s="9" t="s">
        <v>5</v>
      </c>
    </row>
    <row r="4">
      <c r="A4" s="9" t="s">
        <v>107</v>
      </c>
      <c r="B4" s="9" t="s">
        <v>108</v>
      </c>
      <c r="C4" s="9" t="s">
        <v>109</v>
      </c>
      <c r="D4" s="9" t="s">
        <v>114</v>
      </c>
      <c r="E4" s="15" t="s">
        <v>115</v>
      </c>
      <c r="F4" s="9" t="s">
        <v>5</v>
      </c>
    </row>
    <row r="5">
      <c r="A5" s="9" t="s">
        <v>107</v>
      </c>
      <c r="B5" s="9" t="s">
        <v>108</v>
      </c>
      <c r="C5" s="15" t="s">
        <v>116</v>
      </c>
      <c r="D5" s="15" t="s">
        <v>117</v>
      </c>
      <c r="E5" s="15" t="s">
        <v>118</v>
      </c>
      <c r="F5" s="9" t="s">
        <v>30</v>
      </c>
    </row>
    <row r="6">
      <c r="A6" s="9" t="s">
        <v>107</v>
      </c>
      <c r="B6" s="9" t="s">
        <v>108</v>
      </c>
      <c r="C6" s="15" t="s">
        <v>119</v>
      </c>
      <c r="D6" s="15" t="s">
        <v>120</v>
      </c>
      <c r="E6" s="15" t="s">
        <v>121</v>
      </c>
      <c r="F6" s="9" t="s">
        <v>50</v>
      </c>
    </row>
    <row r="7">
      <c r="A7" s="9" t="s">
        <v>122</v>
      </c>
      <c r="B7" s="9" t="s">
        <v>108</v>
      </c>
      <c r="C7" s="15" t="s">
        <v>123</v>
      </c>
      <c r="D7" s="15" t="s">
        <v>124</v>
      </c>
      <c r="E7" s="15" t="s">
        <v>125</v>
      </c>
      <c r="F7" s="9" t="s">
        <v>50</v>
      </c>
    </row>
    <row r="8">
      <c r="A8" s="9" t="s">
        <v>122</v>
      </c>
      <c r="B8" s="9" t="s">
        <v>108</v>
      </c>
      <c r="C8" s="15" t="s">
        <v>126</v>
      </c>
      <c r="D8" s="15" t="s">
        <v>127</v>
      </c>
      <c r="E8" s="15" t="s">
        <v>128</v>
      </c>
      <c r="F8" s="9" t="s">
        <v>30</v>
      </c>
    </row>
    <row r="9">
      <c r="A9" s="18" t="s">
        <v>122</v>
      </c>
      <c r="B9" s="18" t="s">
        <v>108</v>
      </c>
      <c r="C9" s="19" t="s">
        <v>129</v>
      </c>
      <c r="D9" s="19" t="s">
        <v>130</v>
      </c>
      <c r="E9" s="19" t="s">
        <v>131</v>
      </c>
      <c r="F9" s="18" t="s">
        <v>5</v>
      </c>
    </row>
    <row r="10">
      <c r="A10" s="9" t="s">
        <v>122</v>
      </c>
      <c r="B10" s="9" t="s">
        <v>108</v>
      </c>
      <c r="C10" s="15" t="s">
        <v>132</v>
      </c>
      <c r="D10" s="15" t="s">
        <v>133</v>
      </c>
      <c r="E10" s="15" t="s">
        <v>133</v>
      </c>
      <c r="F10" s="9" t="s">
        <v>50</v>
      </c>
    </row>
    <row r="11">
      <c r="A11" s="9" t="s">
        <v>134</v>
      </c>
      <c r="B11" s="9" t="s">
        <v>108</v>
      </c>
      <c r="C11" s="15" t="s">
        <v>135</v>
      </c>
      <c r="D11" s="15" t="s">
        <v>136</v>
      </c>
      <c r="E11" s="15" t="s">
        <v>137</v>
      </c>
      <c r="F11" s="9" t="s">
        <v>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1"/>
  <dataValidations>
    <dataValidation type="list" allowBlank="1" sqref="F2:F11">
      <formula1>"최연우,권소라,김지혜,박회종,전원"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1.43"/>
    <col customWidth="1" min="3" max="3" width="52.0"/>
    <col customWidth="1" min="4" max="4" width="11.86"/>
    <col customWidth="1" min="5" max="5" width="12.71"/>
    <col customWidth="1" min="6" max="6" width="104.0"/>
    <col customWidth="1" min="7" max="26" width="8.71"/>
  </cols>
  <sheetData>
    <row r="1" ht="19.5" customHeight="1">
      <c r="A1" s="20" t="s">
        <v>81</v>
      </c>
      <c r="B1" s="20" t="s">
        <v>101</v>
      </c>
      <c r="C1" s="20" t="s">
        <v>1</v>
      </c>
      <c r="D1" s="20" t="s">
        <v>106</v>
      </c>
      <c r="E1" s="20" t="s">
        <v>45</v>
      </c>
      <c r="F1" s="20" t="s">
        <v>138</v>
      </c>
    </row>
    <row r="2">
      <c r="A2" s="9">
        <v>1.0</v>
      </c>
      <c r="B2" s="11">
        <v>46160.0</v>
      </c>
      <c r="C2" s="9" t="s">
        <v>139</v>
      </c>
      <c r="D2" s="9" t="s">
        <v>36</v>
      </c>
      <c r="E2" s="9" t="s">
        <v>140</v>
      </c>
      <c r="F2" s="9" t="s">
        <v>141</v>
      </c>
    </row>
    <row r="3">
      <c r="A3" s="18">
        <v>2.0</v>
      </c>
      <c r="B3" s="21">
        <v>46160.0</v>
      </c>
      <c r="C3" s="18" t="s">
        <v>142</v>
      </c>
      <c r="D3" s="18" t="s">
        <v>33</v>
      </c>
      <c r="E3" s="18" t="s">
        <v>140</v>
      </c>
      <c r="F3" s="18" t="s">
        <v>143</v>
      </c>
    </row>
    <row r="4">
      <c r="A4" s="9">
        <v>3.0</v>
      </c>
      <c r="B4" s="11">
        <v>46160.0</v>
      </c>
      <c r="C4" s="9" t="s">
        <v>144</v>
      </c>
      <c r="D4" s="9" t="s">
        <v>30</v>
      </c>
      <c r="E4" s="9" t="s">
        <v>140</v>
      </c>
      <c r="F4" s="9" t="s">
        <v>145</v>
      </c>
    </row>
    <row r="5">
      <c r="A5" s="22">
        <v>4.0</v>
      </c>
      <c r="B5" s="11">
        <v>46160.0</v>
      </c>
      <c r="C5" s="22" t="s">
        <v>146</v>
      </c>
      <c r="D5" s="22" t="s">
        <v>5</v>
      </c>
      <c r="E5" s="22" t="s">
        <v>140</v>
      </c>
      <c r="F5" s="22" t="s">
        <v>147</v>
      </c>
    </row>
    <row r="6">
      <c r="A6" s="22">
        <v>5.0</v>
      </c>
      <c r="B6" s="11">
        <v>46160.0</v>
      </c>
      <c r="C6" s="23" t="s">
        <v>148</v>
      </c>
      <c r="D6" s="22" t="s">
        <v>5</v>
      </c>
      <c r="E6" s="22" t="s">
        <v>140</v>
      </c>
      <c r="F6" s="24" t="s">
        <v>149</v>
      </c>
    </row>
    <row r="7">
      <c r="A7" s="22">
        <v>6.0</v>
      </c>
      <c r="B7" s="11">
        <v>46160.0</v>
      </c>
      <c r="C7" s="25" t="s">
        <v>150</v>
      </c>
      <c r="D7" s="22" t="s">
        <v>5</v>
      </c>
      <c r="E7" s="22" t="s">
        <v>140</v>
      </c>
      <c r="F7" s="26" t="s">
        <v>151</v>
      </c>
    </row>
    <row r="8">
      <c r="A8" s="27">
        <v>7.0</v>
      </c>
      <c r="B8" s="21">
        <v>46160.0</v>
      </c>
      <c r="C8" s="28" t="s">
        <v>152</v>
      </c>
      <c r="D8" s="27" t="s">
        <v>36</v>
      </c>
      <c r="E8" s="27" t="s">
        <v>140</v>
      </c>
      <c r="F8" s="29" t="s">
        <v>153</v>
      </c>
    </row>
    <row r="9">
      <c r="A9" s="22">
        <v>8.0</v>
      </c>
      <c r="B9" s="11">
        <v>46161.0</v>
      </c>
      <c r="C9" s="25" t="s">
        <v>154</v>
      </c>
      <c r="D9" s="22" t="s">
        <v>5</v>
      </c>
      <c r="E9" s="22" t="s">
        <v>140</v>
      </c>
      <c r="F9" s="26" t="s">
        <v>155</v>
      </c>
    </row>
    <row r="10">
      <c r="A10" s="27">
        <v>9.0</v>
      </c>
      <c r="B10" s="21">
        <v>46161.0</v>
      </c>
      <c r="C10" s="30" t="s">
        <v>156</v>
      </c>
      <c r="D10" s="27" t="s">
        <v>5</v>
      </c>
      <c r="E10" s="27" t="s">
        <v>140</v>
      </c>
      <c r="F10" s="29" t="s">
        <v>157</v>
      </c>
    </row>
    <row r="11">
      <c r="A11" s="22">
        <v>10.0</v>
      </c>
      <c r="B11" s="11">
        <v>46161.0</v>
      </c>
      <c r="C11" s="31" t="s">
        <v>158</v>
      </c>
      <c r="D11" s="22" t="s">
        <v>5</v>
      </c>
      <c r="E11" s="22" t="s">
        <v>140</v>
      </c>
      <c r="F11" s="26" t="s">
        <v>159</v>
      </c>
    </row>
    <row r="12">
      <c r="A12" s="22">
        <v>11.0</v>
      </c>
      <c r="B12" s="11">
        <v>46161.0</v>
      </c>
      <c r="C12" s="25" t="s">
        <v>160</v>
      </c>
      <c r="D12" s="22" t="s">
        <v>5</v>
      </c>
      <c r="E12" s="22" t="s">
        <v>140</v>
      </c>
      <c r="F12" s="26" t="s">
        <v>161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autoFilter ref="$A$1:$F$12"/>
  <conditionalFormatting sqref="E2:E12">
    <cfRule type="cellIs" dxfId="4" priority="1" operator="equal">
      <formula>"Open"</formula>
    </cfRule>
  </conditionalFormatting>
  <conditionalFormatting sqref="E2:E12">
    <cfRule type="cellIs" dxfId="2" priority="2" operator="equal">
      <formula>"Closed"</formula>
    </cfRule>
  </conditionalFormatting>
  <dataValidations>
    <dataValidation type="list" allowBlank="1" sqref="E2:E12">
      <formula1>"Open,Closed"</formula1>
    </dataValidation>
    <dataValidation type="list" allowBlank="1" sqref="D2:D12">
      <formula1>"최연우,권소라,김지혜,박회종,전원"</formula1>
    </dataValidation>
  </dataValidations>
  <hyperlinks>
    <hyperlink r:id="rId1" ref="C6"/>
    <hyperlink r:id="rId2" ref="F6"/>
    <hyperlink r:id="rId3" ref="C8"/>
  </hyperlinks>
  <printOptions/>
  <pageMargins bottom="1.0" footer="0.0" header="0.0" left="0.75" right="0.75" top="1.0"/>
  <pageSetup orientation="landscape"/>
  <drawing r:id="rId4"/>
</worksheet>
</file>